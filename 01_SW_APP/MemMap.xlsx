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G10" i="1" l="1"/>
  <c r="E8" i="1"/>
  <c r="D8" i="1"/>
  <c r="E7" i="1"/>
  <c r="D7" i="1"/>
  <c r="H10" i="1"/>
  <c r="H9" i="1"/>
  <c r="E6" i="1"/>
  <c r="G7" i="1"/>
  <c r="H7" i="1"/>
  <c r="H11" i="1"/>
  <c r="H6" i="1"/>
  <c r="D6" i="1"/>
  <c r="E3" i="1"/>
  <c r="G8" i="1"/>
  <c r="D9" i="1" s="1"/>
  <c r="D10" i="1" l="1"/>
  <c r="E10" i="1" s="1"/>
  <c r="E9" i="1"/>
  <c r="D11" i="1" l="1"/>
  <c r="E11" i="1" l="1"/>
</calcChain>
</file>

<file path=xl/sharedStrings.xml><?xml version="1.0" encoding="utf-8"?>
<sst xmlns="http://schemas.openxmlformats.org/spreadsheetml/2006/main" count="18" uniqueCount="18">
  <si>
    <t>Address_DEC</t>
  </si>
  <si>
    <t>Addres_HEX</t>
  </si>
  <si>
    <t>Lenght_DEC</t>
  </si>
  <si>
    <t>Length_HEX</t>
  </si>
  <si>
    <t>AddressBase_DEC</t>
  </si>
  <si>
    <t>AddressBase_HEX</t>
  </si>
  <si>
    <t>Region</t>
  </si>
  <si>
    <t>RAM_NOINIT</t>
  </si>
  <si>
    <t>RAM_STACK</t>
  </si>
  <si>
    <t>RAM</t>
  </si>
  <si>
    <t>RAM_BOOTLOADER</t>
  </si>
  <si>
    <t>RAM_SW_UPDATE</t>
  </si>
  <si>
    <t>FLASH_SW</t>
  </si>
  <si>
    <t>FLASH_SW_CRC</t>
  </si>
  <si>
    <t>FLASH_DATAFLASH_CALIB</t>
  </si>
  <si>
    <t>FLASH_BOOTLOADER_CUSTOM</t>
  </si>
  <si>
    <t>FLASH_SW_UPDATE</t>
  </si>
  <si>
    <t>CC00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</si>
</sst>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tabSelected="1" workbookViewId="0">
      <selection activeCell="D13" sqref="D13:H21"/>
    </sheetView>
  </sheetViews>
  <sheetFormatPr baseColWidth="10" defaultColWidth="8.88671875" defaultRowHeight="14.4" x14ac:dyDescent="0.3"/>
  <cols>
    <col min="2" max="2" width="28.33203125" customWidth="1"/>
    <col min="3" max="3" width="3" customWidth="1"/>
    <col min="4" max="5" width="15.77734375" style="1" customWidth="1"/>
    <col min="7" max="8" width="15.77734375" style="1" customWidth="1"/>
  </cols>
  <sheetData>
    <row r="2" spans="2:8" x14ac:dyDescent="0.3">
      <c r="D2" s="3" t="s">
        <v>5</v>
      </c>
      <c r="E2" s="4">
        <v>20000000</v>
      </c>
    </row>
    <row r="3" spans="2:8" x14ac:dyDescent="0.3">
      <c r="D3" s="3" t="s">
        <v>4</v>
      </c>
      <c r="E3" s="4">
        <f>HEX2DEC(E2)</f>
        <v>536870912</v>
      </c>
    </row>
    <row r="5" spans="2:8" x14ac:dyDescent="0.3">
      <c r="B5" s="5" t="s">
        <v>6</v>
      </c>
      <c r="D5" s="2" t="s">
        <v>0</v>
      </c>
      <c r="E5" s="2" t="s">
        <v>1</v>
      </c>
      <c r="F5" s="2"/>
      <c r="G5" s="2" t="s">
        <v>2</v>
      </c>
      <c r="H5" s="2" t="s">
        <v>3</v>
      </c>
    </row>
    <row r="6" spans="2:8" x14ac:dyDescent="0.3">
      <c r="B6" s="6" t="s">
        <v>7</v>
      </c>
      <c r="D6" s="1">
        <f>E3</f>
        <v>536870912</v>
      </c>
      <c r="E6" s="1">
        <f>E2</f>
        <v>20000000</v>
      </c>
      <c r="G6" s="1">
        <v>256</v>
      </c>
      <c r="H6" s="1" t="str">
        <f>DEC2HEX(G6)</f>
        <v>100</v>
      </c>
    </row>
    <row r="7" spans="2:8" x14ac:dyDescent="0.3">
      <c r="B7" s="6" t="s">
        <v>8</v>
      </c>
      <c r="D7" s="1">
        <f>D6+G6</f>
        <v>536871168</v>
      </c>
      <c r="E7" s="1" t="str">
        <f>DEC2HEX(D7)</f>
        <v>20000100</v>
      </c>
      <c r="G7" s="1">
        <f>1.75*1024</f>
        <v>1792</v>
      </c>
      <c r="H7" s="1" t="str">
        <f t="shared" ref="H7:H20" si="0">DEC2HEX(G7)</f>
        <v>700</v>
      </c>
    </row>
    <row r="8" spans="2:8" x14ac:dyDescent="0.3">
      <c r="B8" s="6" t="s">
        <v>9</v>
      </c>
      <c r="D8" s="1">
        <f>D7+G7</f>
        <v>536872960</v>
      </c>
      <c r="E8" s="1" t="str">
        <f>DEC2HEX(D8)</f>
        <v>20000800</v>
      </c>
      <c r="G8" s="1">
        <f>HEX2DEC(H8)</f>
        <v>52224</v>
      </c>
      <c r="H8" s="1" t="s">
        <v>17</v>
      </c>
    </row>
    <row r="9" spans="2:8" x14ac:dyDescent="0.3">
      <c r="B9" s="6" t="s">
        <v>10</v>
      </c>
      <c r="D9" s="1">
        <f>D8+G8</f>
        <v>536925184</v>
      </c>
      <c r="E9" s="1" t="str">
        <f>DEC2HEX(D9)</f>
        <v>2000D400</v>
      </c>
      <c r="G9" s="1">
        <v>1024</v>
      </c>
      <c r="H9" s="1" t="str">
        <f t="shared" si="0"/>
        <v>400</v>
      </c>
    </row>
    <row r="10" spans="2:8" x14ac:dyDescent="0.3">
      <c r="B10" s="6" t="s">
        <v>11</v>
      </c>
      <c r="D10" s="1">
        <f>D9+G9</f>
        <v>536926208</v>
      </c>
      <c r="E10" s="1" t="str">
        <f>DEC2HEX(D10)</f>
        <v>2000D800</v>
      </c>
      <c r="G10" s="1">
        <f>10*1024</f>
        <v>10240</v>
      </c>
      <c r="H10" s="1" t="str">
        <f t="shared" si="0"/>
        <v>2800</v>
      </c>
    </row>
    <row r="11" spans="2:8" x14ac:dyDescent="0.3">
      <c r="B11" s="6"/>
      <c r="D11" s="1">
        <f t="shared" ref="D8:D20" si="1">D10+G10</f>
        <v>536936448</v>
      </c>
      <c r="E11" s="1" t="str">
        <f>DEC2HEX(D11)</f>
        <v>20010000</v>
      </c>
      <c r="H11" s="1" t="str">
        <f t="shared" si="0"/>
        <v>0</v>
      </c>
    </row>
    <row r="12" spans="2:8" x14ac:dyDescent="0.3">
      <c r="B12" s="6"/>
    </row>
    <row r="13" spans="2:8" x14ac:dyDescent="0.3">
      <c r="B13" s="6" t="s">
        <v>12</v>
      </c>
    </row>
    <row r="14" spans="2:8" x14ac:dyDescent="0.3">
      <c r="B14" s="6" t="s">
        <v>13</v>
      </c>
    </row>
    <row r="15" spans="2:8" x14ac:dyDescent="0.3">
      <c r="B15" s="6" t="s">
        <v>14</v>
      </c>
    </row>
    <row r="16" spans="2:8" x14ac:dyDescent="0.3">
      <c r="B16" s="6" t="s">
        <v>15</v>
      </c>
    </row>
    <row r="17" spans="2:2" x14ac:dyDescent="0.3">
      <c r="B17" s="6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2023-05-20T21:16:54Z</dcterms:modified>
</cp:coreProperties>
</file>